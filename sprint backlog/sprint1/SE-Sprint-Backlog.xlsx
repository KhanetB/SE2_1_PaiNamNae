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#1" sheetId="1" r:id="rId5"/>
  </sheets>
  <definedNames/>
  <calcPr/>
</workbook>
</file>

<file path=xl/sharedStrings.xml><?xml version="1.0" encoding="utf-8"?>
<sst xmlns="http://schemas.openxmlformats.org/spreadsheetml/2006/main" count="82" uniqueCount="56">
  <si>
    <t>Sprint Backlog</t>
  </si>
  <si>
    <t>1 Sprint ยาว 7 วัน</t>
  </si>
  <si>
    <t>Sprint No.</t>
  </si>
  <si>
    <t>Product Backlog Items</t>
  </si>
  <si>
    <t>Sprint Tasks</t>
  </si>
  <si>
    <t>ภาระ</t>
  </si>
  <si>
    <t>Volunteer</t>
  </si>
  <si>
    <t>Initial Estimate of Effort (hrs.)</t>
  </si>
  <si>
    <t>New Estimate of Effort Remaining at The End of Day…</t>
  </si>
  <si>
    <t>Actual Time</t>
  </si>
  <si>
    <t>#16 As a user, I want my account and information to be removed from the system when I am no longer want to be apart of this community.</t>
  </si>
  <si>
    <t>วิเคราะห์และวางแผนการลบข้อมูล ตั้งแต่ความสัมพันธ์ของ Schemas เดิม / กำหนดนโยบายการลบ /ออกแบบแนวทางการจัดการข้อมูลที่ร่วมกับข้อมูลอื่น (วาด A-DAPT Blueprint)</t>
  </si>
  <si>
    <t>DEV</t>
  </si>
  <si>
    <t>All members</t>
  </si>
  <si>
    <t>ปรับปรุง Prisma Schemas เพื่อทำการรองรับ Soft Delete และทดสอบการ Migrations</t>
  </si>
  <si>
    <t>BE</t>
  </si>
  <si>
    <t>Phuri Charicha</t>
  </si>
  <si>
    <t>สร้าง Service ที่ใช้ในการลบข้อมูลจาก  Cloudinary Storage</t>
  </si>
  <si>
    <t>Pasit Polwisepornsuk</t>
  </si>
  <si>
    <t>สร้าง Account Deletion Service + API (Business Logic)</t>
  </si>
  <si>
    <t>สร้าง Service เกี่ยวกับการส่งออกข้อมูลส่วนตัวของผู้ใช้ ตามกฏหมาย PDPA</t>
  </si>
  <si>
    <t>Khanet Buasod</t>
  </si>
  <si>
    <t>ออกแบบ Wireframe ส่วนของการลบข้อมูล</t>
  </si>
  <si>
    <t>FE</t>
  </si>
  <si>
    <t>Chanyanutch Palanat, Sawanya Sirimool</t>
  </si>
  <si>
    <t>ทำการ Implement Code ฝั่ง Front End</t>
  </si>
  <si>
    <t>Weerapat Kaewkhamla</t>
  </si>
  <si>
    <t xml:space="preserve">เชื่อมต่อ API </t>
  </si>
  <si>
    <t>ออกแบบ Test Design และ Test Data</t>
  </si>
  <si>
    <t>TEST</t>
  </si>
  <si>
    <t>Thanathat Pukaew</t>
  </si>
  <si>
    <t>ทดสอบ Backend (Integration Test / API Test)</t>
  </si>
  <si>
    <t xml:space="preserve">ทดสอบ UAT </t>
  </si>
  <si>
    <t>Weerapat Kaewkhamla,Khanet Buasod</t>
  </si>
  <si>
    <t>อัปเดตเอกสารสำหรับผู้ใช้</t>
  </si>
  <si>
    <t>DOC</t>
  </si>
  <si>
    <t>Khanet Buasod, Chanyanutch Palanant</t>
  </si>
  <si>
    <t>ทำเอกสารรายงานผลการทดสอบ</t>
  </si>
  <si>
    <t>ทำเอกสาร Change log</t>
  </si>
  <si>
    <t>Deploy Website</t>
  </si>
  <si>
    <t>ส่งมอบ</t>
  </si>
  <si>
    <t>#17 As a passenger, I want to give a review for each ride that I took to support the community.</t>
  </si>
  <si>
    <t>ทำการวิเคราะห์ระบบเดิม เพื่อตกลงแนวทางร่วมกัน เนื่องจากระบบเดิมสิ้นสุดเพียงแค่การจับคู่ระหว่าง Driver กับ passenger เท่านั้น</t>
  </si>
  <si>
    <t>ออกแบบ Database Schema สำหรับ Review</t>
  </si>
  <si>
    <t>สร้าง Review API (Business Logic CRUD / Controller / Routes)</t>
  </si>
  <si>
    <t>เพิ่มระบบเดิม เพื่อให้คนขับและผู้โดยสารสามารถยืนยันว่าการเดินทางเสร็จสิ้น</t>
  </si>
  <si>
    <t>ทำการออกแบบ Figma สำหรับ Frontend</t>
  </si>
  <si>
    <t>Chanyanutch Palanat, Sawaya Sirimool</t>
  </si>
  <si>
    <t>ทำการ Implement Code ฝั่ง Frontend</t>
  </si>
  <si>
    <t>Weerapat Kaewkhamla, Chanyanutch Palanat, Sawanya Sirimool,Pasit Polwisepornsuk</t>
  </si>
  <si>
    <t>ทำการ API Integration</t>
  </si>
  <si>
    <t>Khanet Buasod,Chanyanutch Palanant</t>
  </si>
  <si>
    <t>รวม</t>
  </si>
  <si>
    <t>Day</t>
  </si>
  <si>
    <t>Actual Remaining</t>
  </si>
  <si>
    <t>Ideal Remaining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</si>
</sst>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/>
    <font>
      <b/>
      <sz val="13.0"/>
      <color rgb="FFFFFFFF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3C40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3" fontId="4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ill="1" applyFont="1">
      <alignment horizontal="center" readingOrder="0" shrinkToFit="0" vertical="center" wrapText="1"/>
    </xf>
    <xf borderId="6" fillId="5" fontId="6" numFmtId="0" xfId="0" applyAlignment="1" applyBorder="1" applyFill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6" fillId="0" fontId="7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6" fillId="4" fontId="8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readingOrder="0"/>
    </xf>
    <xf borderId="0" fillId="0" fontId="7" numFmtId="0" xfId="0" applyFont="1"/>
    <xf borderId="6" fillId="0" fontId="7" numFmtId="0" xfId="0" applyAlignment="1" applyBorder="1" applyFont="1">
      <alignment readingOrder="0"/>
    </xf>
    <xf borderId="6" fillId="4" fontId="8" numFmtId="0" xfId="0" applyAlignment="1" applyBorder="1" applyFont="1">
      <alignment horizontal="left" readingOrder="0" shrinkToFit="0" vertical="center" wrapText="1"/>
    </xf>
    <xf borderId="6" fillId="6" fontId="5" numFmtId="0" xfId="0" applyAlignment="1" applyBorder="1" applyFill="1" applyFont="1">
      <alignment horizontal="center" readingOrder="0"/>
    </xf>
    <xf borderId="6" fillId="6" fontId="5" numFmtId="0" xfId="0" applyAlignment="1" applyBorder="1" applyFont="1">
      <alignment horizontal="center"/>
    </xf>
    <xf borderId="6" fillId="7" fontId="5" numFmtId="0" xfId="0" applyAlignment="1" applyBorder="1" applyFill="1" applyFont="1">
      <alignment horizontal="center" readingOrder="0"/>
    </xf>
    <xf borderId="6" fillId="7" fontId="7" numFmtId="0" xfId="0" applyAlignment="1" applyBorder="1" applyFont="1">
      <alignment readingOrder="0"/>
    </xf>
    <xf borderId="6" fillId="7" fontId="7" numFmtId="0" xfId="0" applyBorder="1" applyFont="1"/>
    <xf borderId="6" fillId="7" fontId="7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Remaining and Ideal Remaining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'Sprint#1'!$C$34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'Sprint#1'!$B$35:$B$41</c:f>
            </c:strRef>
          </c:cat>
          <c:val>
            <c:numRef>
              <c:f>'Sprint#1'!$C$35:$C$41</c:f>
              <c:numCache/>
            </c:numRef>
          </c:val>
          <c:smooth val="0"/>
        </c:ser>
        <c:ser>
          <c:idx val="1"/>
          <c:order val="1"/>
          <c:tx>
            <c:strRef>
              <c:f>'Sprint#1'!$D$34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'Sprint#1'!$B$35:$B$41</c:f>
            </c:strRef>
          </c:cat>
          <c:val>
            <c:numRef>
              <c:f>'Sprint#1'!$D$35:$D$41</c:f>
              <c:numCache/>
            </c:numRef>
          </c:val>
          <c:smooth val="0"/>
        </c:ser>
        <c:axId val="440637611"/>
        <c:axId val="769797457"/>
      </c:lineChart>
      <c:catAx>
        <c:axId val="440637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797457"/>
      </c:catAx>
      <c:valAx>
        <c:axId val="769797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637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32</xdr:row>
      <xdr:rowOff>161925</xdr:rowOff>
    </xdr:from>
    <xdr:ext cx="4400550" cy="2628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32.0"/>
    <col customWidth="1" min="3" max="3" width="38.63"/>
    <col customWidth="1" min="4" max="4" width="10.63"/>
    <col customWidth="1" min="5" max="5" width="16.88"/>
    <col customWidth="1" min="6" max="6" width="14.63"/>
    <col customWidth="1" min="7" max="7" width="10.75"/>
    <col customWidth="1" min="8" max="12" width="5.25"/>
    <col customWidth="1" min="13" max="13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2"/>
      <c r="I3" s="2"/>
      <c r="J3" s="2"/>
      <c r="K3" s="2"/>
      <c r="L3" s="2"/>
      <c r="M3" s="3"/>
      <c r="N3" s="7" t="s">
        <v>9</v>
      </c>
    </row>
    <row r="4">
      <c r="A4" s="8"/>
      <c r="B4" s="8"/>
      <c r="C4" s="8"/>
      <c r="D4" s="8"/>
      <c r="E4" s="8"/>
      <c r="F4" s="8"/>
      <c r="G4" s="9">
        <v>1.0</v>
      </c>
      <c r="H4" s="9">
        <v>2.0</v>
      </c>
      <c r="I4" s="9">
        <v>3.0</v>
      </c>
      <c r="J4" s="9">
        <v>4.0</v>
      </c>
      <c r="K4" s="9">
        <v>5.0</v>
      </c>
      <c r="L4" s="9">
        <v>6.0</v>
      </c>
      <c r="M4" s="9">
        <v>7.0</v>
      </c>
      <c r="N4" s="8"/>
    </row>
    <row r="5">
      <c r="A5" s="10">
        <v>1.0</v>
      </c>
      <c r="B5" s="10" t="s">
        <v>10</v>
      </c>
      <c r="C5" s="11" t="s">
        <v>11</v>
      </c>
      <c r="D5" s="12" t="s">
        <v>12</v>
      </c>
      <c r="E5" s="12" t="s">
        <v>13</v>
      </c>
      <c r="F5" s="12">
        <v>2.0</v>
      </c>
      <c r="G5" s="12">
        <v>2.0</v>
      </c>
      <c r="H5" s="13">
        <v>0.0</v>
      </c>
      <c r="I5" s="13">
        <v>0.0</v>
      </c>
      <c r="J5" s="12">
        <v>0.0</v>
      </c>
      <c r="K5" s="12">
        <v>0.0</v>
      </c>
      <c r="L5" s="12">
        <v>0.0</v>
      </c>
      <c r="M5" s="14">
        <v>0.0</v>
      </c>
      <c r="N5" s="15">
        <v>1.0</v>
      </c>
    </row>
    <row r="6">
      <c r="A6" s="16"/>
      <c r="B6" s="16"/>
      <c r="C6" s="11" t="s">
        <v>14</v>
      </c>
      <c r="D6" s="10" t="s">
        <v>15</v>
      </c>
      <c r="E6" s="12" t="s">
        <v>16</v>
      </c>
      <c r="F6" s="12">
        <v>3.0</v>
      </c>
      <c r="G6" s="12">
        <v>3.0</v>
      </c>
      <c r="H6" s="13">
        <v>0.0</v>
      </c>
      <c r="I6" s="13">
        <v>0.0</v>
      </c>
      <c r="J6" s="12">
        <v>0.0</v>
      </c>
      <c r="K6" s="12">
        <v>0.0</v>
      </c>
      <c r="L6" s="12">
        <v>0.0</v>
      </c>
      <c r="M6" s="14">
        <v>0.0</v>
      </c>
      <c r="N6" s="15">
        <v>1.0</v>
      </c>
    </row>
    <row r="7">
      <c r="A7" s="16"/>
      <c r="B7" s="16"/>
      <c r="C7" s="11" t="s">
        <v>17</v>
      </c>
      <c r="D7" s="16"/>
      <c r="E7" s="17" t="s">
        <v>18</v>
      </c>
      <c r="F7" s="17">
        <v>5.0</v>
      </c>
      <c r="G7" s="17">
        <v>5.0</v>
      </c>
      <c r="H7" s="13">
        <v>0.0</v>
      </c>
      <c r="I7" s="13">
        <v>0.0</v>
      </c>
      <c r="J7" s="12">
        <v>0.0</v>
      </c>
      <c r="K7" s="12">
        <v>0.0</v>
      </c>
      <c r="L7" s="12">
        <v>0.0</v>
      </c>
      <c r="M7" s="14">
        <v>0.0</v>
      </c>
      <c r="N7" s="15">
        <v>1.0</v>
      </c>
    </row>
    <row r="8">
      <c r="A8" s="16"/>
      <c r="B8" s="16"/>
      <c r="C8" s="11" t="s">
        <v>19</v>
      </c>
      <c r="D8" s="16"/>
      <c r="E8" s="12" t="s">
        <v>16</v>
      </c>
      <c r="F8" s="12">
        <v>10.0</v>
      </c>
      <c r="G8" s="12">
        <v>10.0</v>
      </c>
      <c r="H8" s="13">
        <v>0.0</v>
      </c>
      <c r="I8" s="13">
        <v>0.0</v>
      </c>
      <c r="J8" s="12">
        <v>0.0</v>
      </c>
      <c r="K8" s="12">
        <v>0.0</v>
      </c>
      <c r="L8" s="12">
        <v>0.0</v>
      </c>
      <c r="M8" s="14">
        <v>0.0</v>
      </c>
      <c r="N8" s="15">
        <v>5.0</v>
      </c>
    </row>
    <row r="9">
      <c r="A9" s="16"/>
      <c r="B9" s="16"/>
      <c r="C9" s="11" t="s">
        <v>20</v>
      </c>
      <c r="D9" s="8"/>
      <c r="E9" s="12" t="s">
        <v>21</v>
      </c>
      <c r="F9" s="12">
        <v>10.0</v>
      </c>
      <c r="G9" s="12">
        <v>10.0</v>
      </c>
      <c r="H9" s="13">
        <v>10.0</v>
      </c>
      <c r="I9" s="13">
        <v>10.0</v>
      </c>
      <c r="J9" s="12">
        <v>0.0</v>
      </c>
      <c r="K9" s="12">
        <v>0.0</v>
      </c>
      <c r="L9" s="12">
        <v>0.0</v>
      </c>
      <c r="M9" s="14">
        <v>0.0</v>
      </c>
      <c r="N9" s="15">
        <v>5.0</v>
      </c>
    </row>
    <row r="10">
      <c r="A10" s="16"/>
      <c r="B10" s="16"/>
      <c r="C10" s="18" t="s">
        <v>22</v>
      </c>
      <c r="D10" s="10" t="s">
        <v>23</v>
      </c>
      <c r="E10" s="12" t="s">
        <v>24</v>
      </c>
      <c r="F10" s="12">
        <v>3.0</v>
      </c>
      <c r="G10" s="12">
        <v>3.0</v>
      </c>
      <c r="H10" s="13">
        <v>0.0</v>
      </c>
      <c r="I10" s="13">
        <v>0.0</v>
      </c>
      <c r="J10" s="12">
        <v>0.0</v>
      </c>
      <c r="K10" s="12">
        <v>0.0</v>
      </c>
      <c r="L10" s="12">
        <v>0.0</v>
      </c>
      <c r="M10" s="14">
        <v>0.0</v>
      </c>
      <c r="N10" s="15">
        <v>2.0</v>
      </c>
    </row>
    <row r="11">
      <c r="A11" s="16"/>
      <c r="B11" s="16"/>
      <c r="C11" s="18" t="s">
        <v>25</v>
      </c>
      <c r="D11" s="16"/>
      <c r="E11" s="12" t="s">
        <v>26</v>
      </c>
      <c r="F11" s="12">
        <v>5.0</v>
      </c>
      <c r="G11" s="12">
        <v>5.0</v>
      </c>
      <c r="H11" s="13">
        <v>5.0</v>
      </c>
      <c r="I11" s="13">
        <v>0.0</v>
      </c>
      <c r="J11" s="12">
        <v>0.0</v>
      </c>
      <c r="K11" s="12">
        <v>0.0</v>
      </c>
      <c r="L11" s="12">
        <v>0.0</v>
      </c>
      <c r="M11" s="14">
        <v>0.0</v>
      </c>
      <c r="N11" s="15">
        <v>4.0</v>
      </c>
    </row>
    <row r="12">
      <c r="A12" s="16"/>
      <c r="B12" s="16"/>
      <c r="C12" s="18" t="s">
        <v>27</v>
      </c>
      <c r="D12" s="8"/>
      <c r="E12" s="17" t="s">
        <v>18</v>
      </c>
      <c r="F12" s="12">
        <v>5.0</v>
      </c>
      <c r="G12" s="12">
        <v>5.0</v>
      </c>
      <c r="H12" s="13">
        <v>5.0</v>
      </c>
      <c r="I12" s="13">
        <v>5.0</v>
      </c>
      <c r="J12" s="12">
        <v>5.0</v>
      </c>
      <c r="K12" s="12">
        <v>5.0</v>
      </c>
      <c r="L12" s="12">
        <v>0.0</v>
      </c>
      <c r="M12" s="14">
        <v>0.0</v>
      </c>
      <c r="N12" s="15">
        <v>6.0</v>
      </c>
    </row>
    <row r="13">
      <c r="A13" s="16"/>
      <c r="B13" s="16"/>
      <c r="C13" s="19" t="s">
        <v>28</v>
      </c>
      <c r="D13" s="10" t="s">
        <v>29</v>
      </c>
      <c r="E13" s="12" t="s">
        <v>30</v>
      </c>
      <c r="F13" s="12">
        <v>5.0</v>
      </c>
      <c r="G13" s="12">
        <v>5.0</v>
      </c>
      <c r="H13" s="12">
        <v>5.0</v>
      </c>
      <c r="I13" s="12">
        <v>0.0</v>
      </c>
      <c r="J13" s="12">
        <v>0.0</v>
      </c>
      <c r="K13" s="12">
        <v>0.0</v>
      </c>
      <c r="L13" s="12">
        <v>0.0</v>
      </c>
      <c r="M13" s="14">
        <v>0.0</v>
      </c>
      <c r="N13" s="15">
        <v>3.0</v>
      </c>
    </row>
    <row r="14">
      <c r="A14" s="16"/>
      <c r="B14" s="16"/>
      <c r="C14" s="19" t="s">
        <v>31</v>
      </c>
      <c r="D14" s="16"/>
      <c r="E14" s="12" t="s">
        <v>30</v>
      </c>
      <c r="F14" s="12">
        <v>5.0</v>
      </c>
      <c r="G14" s="12">
        <v>5.0</v>
      </c>
      <c r="H14" s="12">
        <v>5.0</v>
      </c>
      <c r="I14" s="12">
        <v>5.0</v>
      </c>
      <c r="J14" s="12">
        <v>5.0</v>
      </c>
      <c r="K14" s="12">
        <v>5.0</v>
      </c>
      <c r="L14" s="12">
        <v>0.0</v>
      </c>
      <c r="M14" s="14">
        <v>0.0</v>
      </c>
      <c r="N14" s="15">
        <v>4.0</v>
      </c>
    </row>
    <row r="15">
      <c r="A15" s="16"/>
      <c r="B15" s="16"/>
      <c r="C15" s="19" t="s">
        <v>32</v>
      </c>
      <c r="D15" s="8"/>
      <c r="E15" s="12" t="s">
        <v>33</v>
      </c>
      <c r="F15" s="12">
        <v>5.0</v>
      </c>
      <c r="G15" s="12">
        <v>5.0</v>
      </c>
      <c r="H15" s="12">
        <v>5.0</v>
      </c>
      <c r="I15" s="12">
        <v>5.0</v>
      </c>
      <c r="J15" s="12">
        <v>5.0</v>
      </c>
      <c r="K15" s="12">
        <v>5.0</v>
      </c>
      <c r="L15" s="12">
        <v>5.0</v>
      </c>
      <c r="M15" s="14">
        <v>0.0</v>
      </c>
      <c r="N15" s="15">
        <v>6.0</v>
      </c>
    </row>
    <row r="16">
      <c r="A16" s="16"/>
      <c r="B16" s="16"/>
      <c r="C16" s="19" t="s">
        <v>34</v>
      </c>
      <c r="D16" s="10" t="s">
        <v>35</v>
      </c>
      <c r="E16" s="12" t="s">
        <v>36</v>
      </c>
      <c r="F16" s="12">
        <v>2.0</v>
      </c>
      <c r="G16" s="12">
        <v>2.0</v>
      </c>
      <c r="H16" s="12">
        <v>2.0</v>
      </c>
      <c r="I16" s="12">
        <v>2.0</v>
      </c>
      <c r="J16" s="12">
        <v>2.0</v>
      </c>
      <c r="K16" s="12">
        <v>2.0</v>
      </c>
      <c r="L16" s="12">
        <v>2.0</v>
      </c>
      <c r="M16" s="14">
        <v>0.0</v>
      </c>
      <c r="N16" s="15">
        <v>2.0</v>
      </c>
    </row>
    <row r="17">
      <c r="A17" s="16"/>
      <c r="B17" s="16"/>
      <c r="C17" s="19" t="s">
        <v>37</v>
      </c>
      <c r="D17" s="16"/>
      <c r="E17" s="12" t="s">
        <v>30</v>
      </c>
      <c r="F17" s="12">
        <v>3.0</v>
      </c>
      <c r="G17" s="12">
        <v>3.0</v>
      </c>
      <c r="H17" s="12">
        <v>3.0</v>
      </c>
      <c r="I17" s="12">
        <v>3.0</v>
      </c>
      <c r="J17" s="12">
        <v>3.0</v>
      </c>
      <c r="K17" s="12">
        <v>3.0</v>
      </c>
      <c r="L17" s="12">
        <v>3.0</v>
      </c>
      <c r="M17" s="14">
        <v>0.0</v>
      </c>
      <c r="N17" s="15">
        <v>1.0</v>
      </c>
    </row>
    <row r="18">
      <c r="A18" s="16"/>
      <c r="B18" s="16"/>
      <c r="C18" s="20" t="s">
        <v>38</v>
      </c>
      <c r="D18" s="8"/>
      <c r="E18" s="12" t="s">
        <v>21</v>
      </c>
      <c r="F18" s="12">
        <v>2.0</v>
      </c>
      <c r="G18" s="12">
        <v>2.0</v>
      </c>
      <c r="H18" s="12">
        <v>2.0</v>
      </c>
      <c r="I18" s="12">
        <v>2.0</v>
      </c>
      <c r="J18" s="12">
        <v>2.0</v>
      </c>
      <c r="K18" s="12">
        <v>2.0</v>
      </c>
      <c r="L18" s="12">
        <v>2.0</v>
      </c>
      <c r="M18" s="14">
        <v>0.0</v>
      </c>
      <c r="N18" s="15">
        <v>1.0</v>
      </c>
    </row>
    <row r="19">
      <c r="A19" s="16"/>
      <c r="B19" s="8"/>
      <c r="C19" s="21" t="s">
        <v>39</v>
      </c>
      <c r="D19" s="12" t="s">
        <v>40</v>
      </c>
      <c r="E19" s="12" t="s">
        <v>18</v>
      </c>
      <c r="F19" s="12">
        <v>2.0</v>
      </c>
      <c r="G19" s="12">
        <v>2.0</v>
      </c>
      <c r="H19" s="12">
        <v>2.0</v>
      </c>
      <c r="I19" s="12">
        <v>2.0</v>
      </c>
      <c r="J19" s="12">
        <v>2.0</v>
      </c>
      <c r="K19" s="12">
        <v>2.0</v>
      </c>
      <c r="L19" s="12">
        <v>2.0</v>
      </c>
      <c r="M19" s="14">
        <v>0.0</v>
      </c>
      <c r="N19" s="15">
        <v>1.0</v>
      </c>
      <c r="O19" s="22">
        <f>sum(G5:G19)</f>
        <v>67</v>
      </c>
    </row>
    <row r="20">
      <c r="A20" s="16"/>
      <c r="B20" s="10" t="s">
        <v>41</v>
      </c>
      <c r="C20" s="11" t="s">
        <v>42</v>
      </c>
      <c r="D20" s="12" t="s">
        <v>12</v>
      </c>
      <c r="E20" s="12" t="s">
        <v>13</v>
      </c>
      <c r="F20" s="12">
        <v>3.0</v>
      </c>
      <c r="G20" s="12">
        <v>3.0</v>
      </c>
      <c r="H20" s="12">
        <v>3.0</v>
      </c>
      <c r="I20" s="12">
        <v>3.0</v>
      </c>
      <c r="J20" s="12">
        <v>0.0</v>
      </c>
      <c r="K20" s="13">
        <v>0.0</v>
      </c>
      <c r="L20" s="12">
        <v>0.0</v>
      </c>
      <c r="M20" s="14">
        <v>0.0</v>
      </c>
      <c r="N20" s="15">
        <v>2.0</v>
      </c>
    </row>
    <row r="21">
      <c r="A21" s="16"/>
      <c r="B21" s="16"/>
      <c r="C21" s="11" t="s">
        <v>43</v>
      </c>
      <c r="D21" s="10" t="s">
        <v>15</v>
      </c>
      <c r="E21" s="12" t="s">
        <v>16</v>
      </c>
      <c r="F21" s="12">
        <v>3.0</v>
      </c>
      <c r="G21" s="12">
        <v>3.0</v>
      </c>
      <c r="H21" s="12">
        <v>3.0</v>
      </c>
      <c r="I21" s="12">
        <v>3.0</v>
      </c>
      <c r="J21" s="12">
        <v>0.0</v>
      </c>
      <c r="K21" s="13">
        <v>0.0</v>
      </c>
      <c r="L21" s="12">
        <v>0.0</v>
      </c>
      <c r="M21" s="14">
        <v>0.0</v>
      </c>
      <c r="N21" s="15">
        <v>1.0</v>
      </c>
    </row>
    <row r="22">
      <c r="A22" s="16"/>
      <c r="B22" s="16"/>
      <c r="C22" s="11" t="s">
        <v>44</v>
      </c>
      <c r="D22" s="16"/>
      <c r="E22" s="12" t="s">
        <v>16</v>
      </c>
      <c r="F22" s="12">
        <v>6.0</v>
      </c>
      <c r="G22" s="12">
        <v>6.0</v>
      </c>
      <c r="H22" s="12">
        <v>6.0</v>
      </c>
      <c r="I22" s="12">
        <v>6.0</v>
      </c>
      <c r="J22" s="12">
        <v>6.0</v>
      </c>
      <c r="K22" s="13">
        <v>6.0</v>
      </c>
      <c r="L22" s="12">
        <v>0.0</v>
      </c>
      <c r="M22" s="14">
        <v>0.0</v>
      </c>
      <c r="N22" s="15">
        <v>3.0</v>
      </c>
    </row>
    <row r="23">
      <c r="A23" s="16"/>
      <c r="B23" s="16"/>
      <c r="C23" s="23" t="s">
        <v>45</v>
      </c>
      <c r="D23" s="8"/>
      <c r="E23" s="17" t="s">
        <v>16</v>
      </c>
      <c r="F23" s="17">
        <v>6.0</v>
      </c>
      <c r="G23" s="17">
        <v>6.0</v>
      </c>
      <c r="H23" s="17">
        <v>6.0</v>
      </c>
      <c r="I23" s="17">
        <v>6.0</v>
      </c>
      <c r="J23" s="17">
        <v>6.0</v>
      </c>
      <c r="K23" s="13">
        <v>6.0</v>
      </c>
      <c r="L23" s="12">
        <v>0.0</v>
      </c>
      <c r="M23" s="14">
        <v>0.0</v>
      </c>
      <c r="N23" s="15">
        <v>4.0</v>
      </c>
    </row>
    <row r="24">
      <c r="A24" s="16"/>
      <c r="B24" s="16"/>
      <c r="C24" s="11" t="s">
        <v>46</v>
      </c>
      <c r="D24" s="10" t="s">
        <v>23</v>
      </c>
      <c r="E24" s="12" t="s">
        <v>47</v>
      </c>
      <c r="F24" s="12">
        <v>3.0</v>
      </c>
      <c r="G24" s="12">
        <v>3.0</v>
      </c>
      <c r="H24" s="12">
        <v>3.0</v>
      </c>
      <c r="I24" s="12">
        <v>3.0</v>
      </c>
      <c r="J24" s="12">
        <v>3.0</v>
      </c>
      <c r="K24" s="13">
        <v>0.0</v>
      </c>
      <c r="L24" s="12">
        <v>0.0</v>
      </c>
      <c r="M24" s="14">
        <v>0.0</v>
      </c>
      <c r="N24" s="15">
        <v>2.0</v>
      </c>
    </row>
    <row r="25">
      <c r="A25" s="16"/>
      <c r="B25" s="16"/>
      <c r="C25" s="11" t="s">
        <v>48</v>
      </c>
      <c r="D25" s="16"/>
      <c r="E25" s="12" t="s">
        <v>49</v>
      </c>
      <c r="F25" s="12">
        <v>10.0</v>
      </c>
      <c r="G25" s="12">
        <v>10.0</v>
      </c>
      <c r="H25" s="12">
        <v>10.0</v>
      </c>
      <c r="I25" s="12">
        <v>10.0</v>
      </c>
      <c r="J25" s="12">
        <v>10.0</v>
      </c>
      <c r="K25" s="13">
        <v>10.0</v>
      </c>
      <c r="L25" s="12">
        <v>10.0</v>
      </c>
      <c r="M25" s="14">
        <v>0.0</v>
      </c>
      <c r="N25" s="15">
        <v>10.0</v>
      </c>
    </row>
    <row r="26">
      <c r="A26" s="16"/>
      <c r="B26" s="16"/>
      <c r="C26" s="11" t="s">
        <v>50</v>
      </c>
      <c r="D26" s="8"/>
      <c r="E26" s="17" t="s">
        <v>18</v>
      </c>
      <c r="F26" s="12">
        <v>5.0</v>
      </c>
      <c r="G26" s="12">
        <v>5.0</v>
      </c>
      <c r="H26" s="12">
        <v>5.0</v>
      </c>
      <c r="I26" s="12">
        <v>5.0</v>
      </c>
      <c r="J26" s="12">
        <v>5.0</v>
      </c>
      <c r="K26" s="13">
        <v>5.0</v>
      </c>
      <c r="L26" s="12">
        <v>5.0</v>
      </c>
      <c r="M26" s="14">
        <v>0.0</v>
      </c>
      <c r="N26" s="15">
        <v>7.0</v>
      </c>
    </row>
    <row r="27">
      <c r="A27" s="16"/>
      <c r="B27" s="16"/>
      <c r="C27" s="11" t="s">
        <v>28</v>
      </c>
      <c r="D27" s="10" t="s">
        <v>29</v>
      </c>
      <c r="E27" s="12" t="s">
        <v>30</v>
      </c>
      <c r="F27" s="12">
        <v>5.0</v>
      </c>
      <c r="G27" s="12">
        <v>5.0</v>
      </c>
      <c r="H27" s="12">
        <v>5.0</v>
      </c>
      <c r="I27" s="12">
        <v>5.0</v>
      </c>
      <c r="J27" s="12">
        <v>5.0</v>
      </c>
      <c r="K27" s="13">
        <v>5.0</v>
      </c>
      <c r="L27" s="12">
        <v>5.0</v>
      </c>
      <c r="M27" s="14">
        <v>0.0</v>
      </c>
      <c r="N27" s="15">
        <v>1.0</v>
      </c>
    </row>
    <row r="28">
      <c r="A28" s="16"/>
      <c r="B28" s="16"/>
      <c r="C28" s="11" t="s">
        <v>31</v>
      </c>
      <c r="D28" s="16"/>
      <c r="E28" s="12" t="s">
        <v>30</v>
      </c>
      <c r="F28" s="12">
        <v>10.0</v>
      </c>
      <c r="G28" s="12">
        <v>10.0</v>
      </c>
      <c r="H28" s="12">
        <v>10.0</v>
      </c>
      <c r="I28" s="12">
        <v>10.0</v>
      </c>
      <c r="J28" s="12">
        <v>10.0</v>
      </c>
      <c r="K28" s="13">
        <v>10.0</v>
      </c>
      <c r="L28" s="12">
        <v>10.0</v>
      </c>
      <c r="M28" s="14">
        <v>0.0</v>
      </c>
      <c r="N28" s="15">
        <v>5.0</v>
      </c>
    </row>
    <row r="29">
      <c r="A29" s="16"/>
      <c r="B29" s="16"/>
      <c r="C29" s="11" t="s">
        <v>32</v>
      </c>
      <c r="D29" s="8"/>
      <c r="E29" s="12"/>
      <c r="F29" s="12">
        <v>10.0</v>
      </c>
      <c r="G29" s="12">
        <v>10.0</v>
      </c>
      <c r="H29" s="12">
        <v>10.0</v>
      </c>
      <c r="I29" s="12">
        <v>10.0</v>
      </c>
      <c r="J29" s="12">
        <v>10.0</v>
      </c>
      <c r="K29" s="13">
        <v>10.0</v>
      </c>
      <c r="L29" s="12">
        <v>10.0</v>
      </c>
      <c r="M29" s="14">
        <v>10.0</v>
      </c>
      <c r="N29" s="15">
        <v>10.0</v>
      </c>
    </row>
    <row r="30">
      <c r="A30" s="16"/>
      <c r="B30" s="16"/>
      <c r="C30" s="11" t="s">
        <v>34</v>
      </c>
      <c r="D30" s="10" t="s">
        <v>35</v>
      </c>
      <c r="E30" s="12" t="s">
        <v>51</v>
      </c>
      <c r="F30" s="12">
        <v>2.0</v>
      </c>
      <c r="G30" s="12">
        <v>2.0</v>
      </c>
      <c r="H30" s="12">
        <v>2.0</v>
      </c>
      <c r="I30" s="12">
        <v>2.0</v>
      </c>
      <c r="J30" s="12">
        <v>2.0</v>
      </c>
      <c r="K30" s="13">
        <v>2.0</v>
      </c>
      <c r="L30" s="12">
        <v>2.0</v>
      </c>
      <c r="M30" s="14">
        <v>0.0</v>
      </c>
      <c r="N30" s="15">
        <v>1.0</v>
      </c>
    </row>
    <row r="31">
      <c r="A31" s="16"/>
      <c r="B31" s="16"/>
      <c r="C31" s="11" t="s">
        <v>37</v>
      </c>
      <c r="D31" s="16"/>
      <c r="E31" s="12" t="s">
        <v>30</v>
      </c>
      <c r="F31" s="12">
        <v>3.0</v>
      </c>
      <c r="G31" s="12">
        <v>3.0</v>
      </c>
      <c r="H31" s="12">
        <v>3.0</v>
      </c>
      <c r="I31" s="12">
        <v>3.0</v>
      </c>
      <c r="J31" s="12">
        <v>3.0</v>
      </c>
      <c r="K31" s="13">
        <v>3.0</v>
      </c>
      <c r="L31" s="12">
        <v>3.0</v>
      </c>
      <c r="M31" s="14">
        <v>0.0</v>
      </c>
      <c r="N31" s="15">
        <v>1.0</v>
      </c>
    </row>
    <row r="32">
      <c r="A32" s="8"/>
      <c r="B32" s="8"/>
      <c r="C32" s="24" t="s">
        <v>38</v>
      </c>
      <c r="D32" s="8"/>
      <c r="E32" s="12" t="s">
        <v>21</v>
      </c>
      <c r="F32" s="12">
        <v>2.0</v>
      </c>
      <c r="G32" s="12">
        <v>2.0</v>
      </c>
      <c r="H32" s="12">
        <v>2.0</v>
      </c>
      <c r="I32" s="12">
        <v>2.0</v>
      </c>
      <c r="J32" s="12">
        <v>2.0</v>
      </c>
      <c r="K32" s="13">
        <v>2.0</v>
      </c>
      <c r="L32" s="12">
        <v>2.0</v>
      </c>
      <c r="M32" s="14">
        <v>0.0</v>
      </c>
      <c r="N32" s="15">
        <v>1.0</v>
      </c>
      <c r="O32" s="22">
        <f>sum(G20:G32)</f>
        <v>68</v>
      </c>
    </row>
    <row r="33">
      <c r="M33" s="25" t="s">
        <v>52</v>
      </c>
      <c r="N33" s="26">
        <f>SUM(N2:N32)</f>
        <v>91</v>
      </c>
    </row>
    <row r="34">
      <c r="B34" s="27" t="s">
        <v>53</v>
      </c>
      <c r="C34" s="27" t="s">
        <v>54</v>
      </c>
      <c r="D34" s="27" t="s">
        <v>55</v>
      </c>
    </row>
    <row r="35">
      <c r="B35" s="28">
        <v>1.0</v>
      </c>
      <c r="C35" s="29">
        <f>sum(F5:F32)</f>
        <v>135</v>
      </c>
      <c r="D35" s="30">
        <f t="shared" ref="D35:D41" si="1">135 - (B35*(135/7))</f>
        <v>115.7142857</v>
      </c>
    </row>
    <row r="36">
      <c r="B36" s="28">
        <v>2.0</v>
      </c>
      <c r="C36" s="29">
        <f>sum(H5:H32)</f>
        <v>112</v>
      </c>
      <c r="D36" s="30">
        <f t="shared" si="1"/>
        <v>96.42857143</v>
      </c>
    </row>
    <row r="37">
      <c r="B37" s="28">
        <v>3.0</v>
      </c>
      <c r="C37" s="28">
        <f>sum(I5:I32)</f>
        <v>102</v>
      </c>
      <c r="D37" s="30">
        <f t="shared" si="1"/>
        <v>77.14285714</v>
      </c>
    </row>
    <row r="38">
      <c r="B38" s="28">
        <v>4.0</v>
      </c>
      <c r="C38" s="29">
        <f>sum(J5:J32)</f>
        <v>86</v>
      </c>
      <c r="D38" s="30">
        <f t="shared" si="1"/>
        <v>57.85714286</v>
      </c>
    </row>
    <row r="39">
      <c r="B39" s="28">
        <v>5.0</v>
      </c>
      <c r="C39" s="29">
        <f>sum(K5:K32)</f>
        <v>83</v>
      </c>
      <c r="D39" s="30">
        <f t="shared" si="1"/>
        <v>38.57142857</v>
      </c>
    </row>
    <row r="40">
      <c r="B40" s="28">
        <v>6.0</v>
      </c>
      <c r="C40" s="29">
        <f>sum(L5:L32)</f>
        <v>61</v>
      </c>
      <c r="D40" s="30">
        <f t="shared" si="1"/>
        <v>19.28571429</v>
      </c>
    </row>
    <row r="41">
      <c r="B41" s="28">
        <v>7.0</v>
      </c>
      <c r="C41" s="29">
        <f>sum(M5:M32)</f>
        <v>10</v>
      </c>
      <c r="D41" s="30">
        <f t="shared" si="1"/>
        <v>0</v>
      </c>
    </row>
  </sheetData>
  <mergeCells count="21">
    <mergeCell ref="A1:N1"/>
    <mergeCell ref="A2:N2"/>
    <mergeCell ref="A3:A4"/>
    <mergeCell ref="B3:B4"/>
    <mergeCell ref="C3:C4"/>
    <mergeCell ref="D3:D4"/>
    <mergeCell ref="E3:E4"/>
    <mergeCell ref="N3:N4"/>
    <mergeCell ref="B5:B19"/>
    <mergeCell ref="B20:B32"/>
    <mergeCell ref="D21:D23"/>
    <mergeCell ref="D24:D26"/>
    <mergeCell ref="D27:D29"/>
    <mergeCell ref="D30:D32"/>
    <mergeCell ref="F3:F4"/>
    <mergeCell ref="G3:M3"/>
    <mergeCell ref="A5:A32"/>
    <mergeCell ref="D6:D9"/>
    <mergeCell ref="D10:D12"/>
    <mergeCell ref="D13:D15"/>
    <mergeCell ref="D16:D18"/>
  </mergeCells>
  <drawing r:id="rId1"/>
</worksheet>
</file>